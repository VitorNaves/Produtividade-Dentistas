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n.impressao04\Desktop\Pag Relatorio dos dentistas\"/>
    </mc:Choice>
  </mc:AlternateContent>
  <xr:revisionPtr revIDLastSave="0" documentId="13_ncr:1_{624B5252-A9FD-499E-B1A3-B89769A3D5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shboard de Desempenho Odontol" sheetId="1" r:id="rId1"/>
  </sheets>
  <calcPr calcId="181029"/>
</workbook>
</file>

<file path=xl/calcChain.xml><?xml version="1.0" encoding="utf-8"?>
<calcChain xmlns="http://schemas.openxmlformats.org/spreadsheetml/2006/main">
  <c r="D30" i="1" l="1"/>
  <c r="F30" i="1" s="1"/>
  <c r="D29" i="1"/>
  <c r="F29" i="1" s="1"/>
  <c r="F28" i="1"/>
  <c r="D28" i="1"/>
  <c r="D27" i="1"/>
  <c r="F27" i="1" s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</calcChain>
</file>

<file path=xl/sharedStrings.xml><?xml version="1.0" encoding="utf-8"?>
<sst xmlns="http://schemas.openxmlformats.org/spreadsheetml/2006/main" count="128" uniqueCount="42">
  <si>
    <t>Dentista</t>
  </si>
  <si>
    <t>Meta Diária</t>
  </si>
  <si>
    <t>Dias Úteis (Manual)</t>
  </si>
  <si>
    <t>Meta Mensal (Cálculo)</t>
  </si>
  <si>
    <t>Realizado</t>
  </si>
  <si>
    <t>% Atingido</t>
  </si>
  <si>
    <t>416 - AMANDA PRUDENTE VAZ</t>
  </si>
  <si>
    <t>449 - ANA CATARINA DUARTE</t>
  </si>
  <si>
    <t>729 - ANDRESSA MEIRELES SEABRA GOMES</t>
  </si>
  <si>
    <t>399 - BARBARA QUEIROZ OLIVEIRA</t>
  </si>
  <si>
    <t>410 - MARIA DANIELE DE SOUSA SANTIAGO</t>
  </si>
  <si>
    <t>395 - EDMAR FERREIRA MARQUES JUNIOR</t>
  </si>
  <si>
    <t xml:space="preserve"> 54 - FERNANDO DA SILVA GOMES</t>
  </si>
  <si>
    <t>401 - GABRIELLA NADELICCI ROSSI</t>
  </si>
  <si>
    <t>581 - GABRIELLA ALVES QUIXABEIRA</t>
  </si>
  <si>
    <t>402 - GISELE FERREIRA DOS SANTOS</t>
  </si>
  <si>
    <t>403 - GIZELE MARTINS FERRAZ PERES</t>
  </si>
  <si>
    <t>471 - SOFLAUDOS 6 (IGOR)</t>
  </si>
  <si>
    <t>728 - ISABELA BACELLAR CARVALHO</t>
  </si>
  <si>
    <t>404 - JANE TEREZA PERETTO</t>
  </si>
  <si>
    <t>464 - SOFLAUDOS 3 (JOÃO OTÁVIO)</t>
  </si>
  <si>
    <t>405 - JOYCE MICAELLE DE OLIVEIRA RESENDE</t>
  </si>
  <si>
    <t>475 - SOFLAUDOS 10 (JULIANA A.)</t>
  </si>
  <si>
    <t>587 - KARINNE DINIZ DE SOUZA</t>
  </si>
  <si>
    <t>567 - LARISSE SANTOS MENDONÇA ALVES</t>
  </si>
  <si>
    <t>586 - LAURA GOMES DA SILVA</t>
  </si>
  <si>
    <t>Luana Ferreira</t>
  </si>
  <si>
    <t>114 - DR. LUCAS AUGUSTO NEVES MACHADO</t>
  </si>
  <si>
    <t>409 - MARIA CAROLINA ARAUJO ASSUNÇÃO</t>
  </si>
  <si>
    <t>446 - MIKAELLA MIALICHI</t>
  </si>
  <si>
    <t>413 - PATRICIA MARIA GRAZIA TRIOLO</t>
  </si>
  <si>
    <t>414 - PRISCILA LEONEL CRUZ ISHIGAME</t>
  </si>
  <si>
    <t>524 - PRISCILLA MARRA</t>
  </si>
  <si>
    <t>53 - DR. SERGIO SARGENTI NETO</t>
  </si>
  <si>
    <t>450 - VITOR CUNHA</t>
  </si>
  <si>
    <t>Mês Referente</t>
  </si>
  <si>
    <t>54 - FERNANDO DA SILVA GOMES</t>
  </si>
  <si>
    <t>901 - CAROLINA DE CARLI FARIAS CRUZ</t>
  </si>
  <si>
    <t>472 - SOFLAUDOS 7 (JESSICA)</t>
  </si>
  <si>
    <t>903 - LUAN DEIVES RODRIGUES LEITE</t>
  </si>
  <si>
    <t>408 - LUANA FERREIRA DA COSTA</t>
  </si>
  <si>
    <t>902 - MONALISA MORAES SILVA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</si>
</sst>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/>
    <xf numFmtId="9" fontId="1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1" xfId="0" applyFont="1" applyBorder="1" applyAlignment="1">
      <alignment wrapText="1"/>
    </xf>
    <xf numFmtId="17" fontId="3" fillId="0" borderId="1" xfId="0" applyNumberFormat="1" applyFont="1" applyBorder="1" applyAlignment="1">
      <alignment horizontal="right" wrapText="1"/>
    </xf>
    <xf numFmtId="0" fontId="4" fillId="0" borderId="0" xfId="0" applyFont="1"/>
    <xf numFmtId="9" fontId="4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2"/>
  <sheetViews>
    <sheetView tabSelected="1" topLeftCell="A101" workbookViewId="0">
      <selection activeCell="I105" sqref="I105"/>
    </sheetView>
  </sheetViews>
  <sheetFormatPr defaultColWidth="12.5703125" defaultRowHeight="15.75" customHeight="1" x14ac:dyDescent="0.2"/>
  <cols>
    <col min="1" max="1" width="44.42578125" customWidth="1"/>
    <col min="3" max="3" width="18.7109375" customWidth="1"/>
    <col min="4" max="4" width="22.140625" customWidth="1"/>
    <col min="5" max="5" width="12.42578125" customWidth="1"/>
    <col min="7" max="7" width="19.140625" customWidth="1"/>
  </cols>
  <sheetData>
    <row r="1" spans="1: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35</v>
      </c>
    </row>
    <row r="2" spans="1:7" ht="13.5" thickBot="1" x14ac:dyDescent="0.25">
      <c r="A2" s="2" t="s">
        <v>6</v>
      </c>
      <c r="B2" s="3">
        <v>60</v>
      </c>
      <c r="C2" s="4">
        <v>18</v>
      </c>
      <c r="D2" s="1">
        <f t="shared" ref="D2:D30" si="0">B2 * C$2</f>
        <v>1080</v>
      </c>
      <c r="E2" s="1">
        <v>841</v>
      </c>
      <c r="F2" s="5">
        <f t="shared" ref="F2:F30" si="1">E2 / D2</f>
        <v>0.77870370370370368</v>
      </c>
      <c r="G2" s="9">
        <v>46054</v>
      </c>
    </row>
    <row r="3" spans="1:7" ht="13.5" thickBot="1" x14ac:dyDescent="0.25">
      <c r="A3" s="2" t="s">
        <v>7</v>
      </c>
      <c r="B3" s="3">
        <v>50</v>
      </c>
      <c r="C3" s="4">
        <v>18</v>
      </c>
      <c r="D3" s="1">
        <f t="shared" si="0"/>
        <v>900</v>
      </c>
      <c r="E3" s="1">
        <v>76</v>
      </c>
      <c r="F3" s="5">
        <f t="shared" si="1"/>
        <v>8.4444444444444447E-2</v>
      </c>
      <c r="G3" s="9">
        <v>46054</v>
      </c>
    </row>
    <row r="4" spans="1:7" ht="13.5" thickBot="1" x14ac:dyDescent="0.25">
      <c r="A4" s="2" t="s">
        <v>8</v>
      </c>
      <c r="B4" s="3">
        <v>60</v>
      </c>
      <c r="C4" s="4">
        <v>18</v>
      </c>
      <c r="D4" s="1">
        <f t="shared" si="0"/>
        <v>1080</v>
      </c>
      <c r="E4" s="1">
        <v>931</v>
      </c>
      <c r="F4" s="5">
        <f t="shared" si="1"/>
        <v>0.86203703703703705</v>
      </c>
      <c r="G4" s="9">
        <v>46054</v>
      </c>
    </row>
    <row r="5" spans="1:7" ht="13.5" thickBot="1" x14ac:dyDescent="0.25">
      <c r="A5" s="2" t="s">
        <v>9</v>
      </c>
      <c r="B5" s="3">
        <v>60</v>
      </c>
      <c r="C5" s="4">
        <v>18</v>
      </c>
      <c r="D5" s="1">
        <f t="shared" si="0"/>
        <v>1080</v>
      </c>
      <c r="E5" s="1">
        <v>599</v>
      </c>
      <c r="F5" s="5">
        <f t="shared" si="1"/>
        <v>0.55462962962962958</v>
      </c>
      <c r="G5" s="9">
        <v>46054</v>
      </c>
    </row>
    <row r="6" spans="1:7" ht="13.5" thickBot="1" x14ac:dyDescent="0.25">
      <c r="A6" s="2" t="s">
        <v>10</v>
      </c>
      <c r="B6" s="3">
        <v>50</v>
      </c>
      <c r="C6" s="4">
        <v>18</v>
      </c>
      <c r="D6" s="1">
        <f t="shared" si="0"/>
        <v>900</v>
      </c>
      <c r="E6" s="1">
        <v>1189</v>
      </c>
      <c r="F6" s="5">
        <f t="shared" si="1"/>
        <v>1.3211111111111111</v>
      </c>
      <c r="G6" s="9">
        <v>46054</v>
      </c>
    </row>
    <row r="7" spans="1:7" ht="13.5" thickBot="1" x14ac:dyDescent="0.25">
      <c r="A7" s="1" t="s">
        <v>11</v>
      </c>
      <c r="B7" s="3">
        <v>100</v>
      </c>
      <c r="C7" s="4">
        <v>18</v>
      </c>
      <c r="D7" s="1">
        <f t="shared" si="0"/>
        <v>1800</v>
      </c>
      <c r="E7" s="1">
        <v>2843</v>
      </c>
      <c r="F7" s="5">
        <f t="shared" si="1"/>
        <v>1.5794444444444444</v>
      </c>
      <c r="G7" s="9">
        <v>46054</v>
      </c>
    </row>
    <row r="8" spans="1:7" ht="13.5" thickBot="1" x14ac:dyDescent="0.25">
      <c r="A8" s="6" t="s">
        <v>12</v>
      </c>
      <c r="B8" s="7">
        <v>100</v>
      </c>
      <c r="C8" s="4">
        <v>18</v>
      </c>
      <c r="D8" s="1">
        <f t="shared" si="0"/>
        <v>1800</v>
      </c>
      <c r="E8" s="1">
        <v>0</v>
      </c>
      <c r="F8" s="5">
        <f t="shared" si="1"/>
        <v>0</v>
      </c>
      <c r="G8" s="9">
        <v>46054</v>
      </c>
    </row>
    <row r="9" spans="1:7" ht="13.5" thickBot="1" x14ac:dyDescent="0.25">
      <c r="A9" s="2" t="s">
        <v>13</v>
      </c>
      <c r="B9" s="3">
        <v>80</v>
      </c>
      <c r="C9" s="4">
        <v>18</v>
      </c>
      <c r="D9" s="1">
        <f t="shared" si="0"/>
        <v>1440</v>
      </c>
      <c r="E9" s="1">
        <v>1400</v>
      </c>
      <c r="F9" s="5">
        <f t="shared" si="1"/>
        <v>0.97222222222222221</v>
      </c>
      <c r="G9" s="9">
        <v>46054</v>
      </c>
    </row>
    <row r="10" spans="1:7" ht="13.5" thickBot="1" x14ac:dyDescent="0.25">
      <c r="A10" s="2" t="s">
        <v>14</v>
      </c>
      <c r="B10" s="3">
        <v>64</v>
      </c>
      <c r="C10" s="4">
        <v>18</v>
      </c>
      <c r="D10" s="1">
        <f t="shared" si="0"/>
        <v>1152</v>
      </c>
      <c r="E10" s="1">
        <v>924</v>
      </c>
      <c r="F10" s="5">
        <f t="shared" si="1"/>
        <v>0.80208333333333337</v>
      </c>
      <c r="G10" s="9">
        <v>46054</v>
      </c>
    </row>
    <row r="11" spans="1:7" ht="13.5" thickBot="1" x14ac:dyDescent="0.25">
      <c r="A11" s="2" t="s">
        <v>15</v>
      </c>
      <c r="B11" s="3">
        <v>30</v>
      </c>
      <c r="C11" s="4">
        <v>18</v>
      </c>
      <c r="D11" s="1">
        <f t="shared" si="0"/>
        <v>540</v>
      </c>
      <c r="E11" s="1">
        <v>444</v>
      </c>
      <c r="F11" s="5">
        <f t="shared" si="1"/>
        <v>0.82222222222222219</v>
      </c>
      <c r="G11" s="9">
        <v>46054</v>
      </c>
    </row>
    <row r="12" spans="1:7" ht="13.5" thickBot="1" x14ac:dyDescent="0.25">
      <c r="A12" s="2" t="s">
        <v>16</v>
      </c>
      <c r="B12" s="3">
        <v>50</v>
      </c>
      <c r="C12" s="4">
        <v>18</v>
      </c>
      <c r="D12" s="1">
        <f t="shared" si="0"/>
        <v>900</v>
      </c>
      <c r="E12" s="1">
        <v>883</v>
      </c>
      <c r="F12" s="5">
        <f t="shared" si="1"/>
        <v>0.98111111111111116</v>
      </c>
      <c r="G12" s="9">
        <v>46054</v>
      </c>
    </row>
    <row r="13" spans="1:7" ht="13.5" thickBot="1" x14ac:dyDescent="0.25">
      <c r="A13" s="1" t="s">
        <v>17</v>
      </c>
      <c r="B13" s="3">
        <v>70</v>
      </c>
      <c r="C13" s="4">
        <v>18</v>
      </c>
      <c r="D13" s="1">
        <f t="shared" si="0"/>
        <v>1260</v>
      </c>
      <c r="E13" s="1">
        <v>842</v>
      </c>
      <c r="F13" s="5">
        <f t="shared" si="1"/>
        <v>0.66825396825396821</v>
      </c>
      <c r="G13" s="9">
        <v>46054</v>
      </c>
    </row>
    <row r="14" spans="1:7" ht="13.5" thickBot="1" x14ac:dyDescent="0.25">
      <c r="A14" s="2" t="s">
        <v>18</v>
      </c>
      <c r="B14" s="3">
        <v>100</v>
      </c>
      <c r="C14" s="4">
        <v>18</v>
      </c>
      <c r="D14" s="1">
        <f t="shared" si="0"/>
        <v>1800</v>
      </c>
      <c r="E14" s="1">
        <v>1696</v>
      </c>
      <c r="F14" s="5">
        <f t="shared" si="1"/>
        <v>0.94222222222222218</v>
      </c>
      <c r="G14" s="9">
        <v>46054</v>
      </c>
    </row>
    <row r="15" spans="1:7" ht="13.5" thickBot="1" x14ac:dyDescent="0.25">
      <c r="A15" s="1" t="s">
        <v>19</v>
      </c>
      <c r="B15" s="3">
        <v>50</v>
      </c>
      <c r="C15" s="4">
        <v>18</v>
      </c>
      <c r="D15" s="1">
        <f t="shared" si="0"/>
        <v>900</v>
      </c>
      <c r="E15" s="1">
        <v>100</v>
      </c>
      <c r="F15" s="5">
        <f t="shared" si="1"/>
        <v>0.1111111111111111</v>
      </c>
      <c r="G15" s="9">
        <v>46054</v>
      </c>
    </row>
    <row r="16" spans="1:7" ht="13.5" thickBot="1" x14ac:dyDescent="0.25">
      <c r="A16" s="2" t="s">
        <v>20</v>
      </c>
      <c r="B16" s="3">
        <v>70</v>
      </c>
      <c r="C16" s="4">
        <v>18</v>
      </c>
      <c r="D16" s="1">
        <f t="shared" si="0"/>
        <v>1260</v>
      </c>
      <c r="E16" s="1">
        <v>1438</v>
      </c>
      <c r="F16" s="5">
        <f t="shared" si="1"/>
        <v>1.1412698412698412</v>
      </c>
      <c r="G16" s="9">
        <v>46054</v>
      </c>
    </row>
    <row r="17" spans="1:7" ht="13.5" thickBot="1" x14ac:dyDescent="0.25">
      <c r="A17" s="1" t="s">
        <v>21</v>
      </c>
      <c r="B17" s="3">
        <v>30</v>
      </c>
      <c r="C17" s="4">
        <v>18</v>
      </c>
      <c r="D17" s="1">
        <f t="shared" si="0"/>
        <v>540</v>
      </c>
      <c r="E17" s="1">
        <v>520</v>
      </c>
      <c r="F17" s="5">
        <f t="shared" si="1"/>
        <v>0.96296296296296291</v>
      </c>
      <c r="G17" s="9">
        <v>46054</v>
      </c>
    </row>
    <row r="18" spans="1:7" ht="13.5" thickBot="1" x14ac:dyDescent="0.25">
      <c r="A18" s="1" t="s">
        <v>22</v>
      </c>
      <c r="B18" s="3">
        <v>50</v>
      </c>
      <c r="C18" s="4">
        <v>18</v>
      </c>
      <c r="D18" s="1">
        <f t="shared" si="0"/>
        <v>900</v>
      </c>
      <c r="E18" s="1">
        <v>605</v>
      </c>
      <c r="F18" s="5">
        <f t="shared" si="1"/>
        <v>0.67222222222222228</v>
      </c>
      <c r="G18" s="9">
        <v>46054</v>
      </c>
    </row>
    <row r="19" spans="1:7" ht="13.5" thickBot="1" x14ac:dyDescent="0.25">
      <c r="A19" s="2" t="s">
        <v>23</v>
      </c>
      <c r="B19" s="3">
        <v>100</v>
      </c>
      <c r="C19" s="4">
        <v>18</v>
      </c>
      <c r="D19" s="1">
        <f t="shared" si="0"/>
        <v>1800</v>
      </c>
      <c r="E19" s="1">
        <v>709</v>
      </c>
      <c r="F19" s="5">
        <f t="shared" si="1"/>
        <v>0.3938888888888889</v>
      </c>
      <c r="G19" s="9">
        <v>46054</v>
      </c>
    </row>
    <row r="20" spans="1:7" ht="13.5" thickBot="1" x14ac:dyDescent="0.25">
      <c r="A20" s="2" t="s">
        <v>24</v>
      </c>
      <c r="B20" s="3">
        <v>20</v>
      </c>
      <c r="C20" s="4">
        <v>18</v>
      </c>
      <c r="D20" s="1">
        <f t="shared" si="0"/>
        <v>360</v>
      </c>
      <c r="E20" s="1">
        <v>371</v>
      </c>
      <c r="F20" s="5">
        <f t="shared" si="1"/>
        <v>1.0305555555555554</v>
      </c>
      <c r="G20" s="9">
        <v>46054</v>
      </c>
    </row>
    <row r="21" spans="1:7" ht="13.5" thickBot="1" x14ac:dyDescent="0.25">
      <c r="A21" s="2" t="s">
        <v>25</v>
      </c>
      <c r="B21" s="3">
        <v>50</v>
      </c>
      <c r="C21" s="4">
        <v>18</v>
      </c>
      <c r="D21" s="1">
        <f t="shared" si="0"/>
        <v>900</v>
      </c>
      <c r="E21" s="1">
        <v>724</v>
      </c>
      <c r="F21" s="5">
        <f t="shared" si="1"/>
        <v>0.80444444444444441</v>
      </c>
      <c r="G21" s="9">
        <v>46054</v>
      </c>
    </row>
    <row r="22" spans="1:7" ht="13.5" thickBot="1" x14ac:dyDescent="0.25">
      <c r="A22" s="2" t="s">
        <v>26</v>
      </c>
      <c r="B22" s="3">
        <v>30</v>
      </c>
      <c r="C22" s="4">
        <v>18</v>
      </c>
      <c r="D22" s="1">
        <f t="shared" si="0"/>
        <v>540</v>
      </c>
      <c r="E22" s="1">
        <v>0</v>
      </c>
      <c r="F22" s="5">
        <f t="shared" si="1"/>
        <v>0</v>
      </c>
      <c r="G22" s="9">
        <v>46054</v>
      </c>
    </row>
    <row r="23" spans="1:7" ht="13.5" thickBot="1" x14ac:dyDescent="0.25">
      <c r="A23" s="2" t="s">
        <v>27</v>
      </c>
      <c r="B23" s="3">
        <v>40</v>
      </c>
      <c r="C23" s="4">
        <v>18</v>
      </c>
      <c r="D23" s="1">
        <f t="shared" si="0"/>
        <v>720</v>
      </c>
      <c r="E23" s="1">
        <v>737</v>
      </c>
      <c r="F23" s="5">
        <f t="shared" si="1"/>
        <v>1.023611111111111</v>
      </c>
      <c r="G23" s="9">
        <v>46054</v>
      </c>
    </row>
    <row r="24" spans="1:7" ht="13.5" thickBot="1" x14ac:dyDescent="0.25">
      <c r="A24" s="1" t="s">
        <v>28</v>
      </c>
      <c r="B24" s="3">
        <v>40</v>
      </c>
      <c r="C24" s="4">
        <v>18</v>
      </c>
      <c r="D24" s="1">
        <f t="shared" si="0"/>
        <v>720</v>
      </c>
      <c r="E24" s="1">
        <v>453</v>
      </c>
      <c r="F24" s="5">
        <f t="shared" si="1"/>
        <v>0.62916666666666665</v>
      </c>
      <c r="G24" s="9">
        <v>46054</v>
      </c>
    </row>
    <row r="25" spans="1:7" ht="13.5" thickBot="1" x14ac:dyDescent="0.25">
      <c r="A25" s="2" t="s">
        <v>29</v>
      </c>
      <c r="B25" s="3">
        <v>65</v>
      </c>
      <c r="C25" s="4">
        <v>18</v>
      </c>
      <c r="D25" s="1">
        <f t="shared" si="0"/>
        <v>1170</v>
      </c>
      <c r="E25" s="1">
        <v>1288</v>
      </c>
      <c r="F25" s="5">
        <f t="shared" si="1"/>
        <v>1.1008547008547009</v>
      </c>
      <c r="G25" s="9">
        <v>46054</v>
      </c>
    </row>
    <row r="26" spans="1:7" ht="13.5" thickBot="1" x14ac:dyDescent="0.25">
      <c r="A26" s="1" t="s">
        <v>30</v>
      </c>
      <c r="B26" s="7">
        <v>40</v>
      </c>
      <c r="C26" s="4">
        <v>18</v>
      </c>
      <c r="D26" s="1">
        <f t="shared" si="0"/>
        <v>720</v>
      </c>
      <c r="E26" s="1">
        <v>762</v>
      </c>
      <c r="F26" s="5">
        <f t="shared" si="1"/>
        <v>1.0583333333333333</v>
      </c>
      <c r="G26" s="9">
        <v>46054</v>
      </c>
    </row>
    <row r="27" spans="1:7" ht="13.5" thickBot="1" x14ac:dyDescent="0.25">
      <c r="A27" s="2" t="s">
        <v>31</v>
      </c>
      <c r="B27" s="3">
        <v>15</v>
      </c>
      <c r="C27" s="4">
        <v>18</v>
      </c>
      <c r="D27" s="1">
        <f t="shared" si="0"/>
        <v>270</v>
      </c>
      <c r="E27" s="1">
        <v>302</v>
      </c>
      <c r="F27" s="5">
        <f t="shared" si="1"/>
        <v>1.1185185185185185</v>
      </c>
      <c r="G27" s="9">
        <v>46054</v>
      </c>
    </row>
    <row r="28" spans="1:7" ht="13.5" thickBot="1" x14ac:dyDescent="0.25">
      <c r="A28" s="2" t="s">
        <v>32</v>
      </c>
      <c r="B28" s="3">
        <v>60</v>
      </c>
      <c r="C28" s="4">
        <v>18</v>
      </c>
      <c r="D28" s="1">
        <f t="shared" si="0"/>
        <v>1080</v>
      </c>
      <c r="E28" s="1">
        <v>821</v>
      </c>
      <c r="F28" s="5">
        <f t="shared" si="1"/>
        <v>0.76018518518518519</v>
      </c>
      <c r="G28" s="9">
        <v>46054</v>
      </c>
    </row>
    <row r="29" spans="1:7" ht="13.5" thickBot="1" x14ac:dyDescent="0.25">
      <c r="A29" s="6" t="s">
        <v>33</v>
      </c>
      <c r="B29" s="7">
        <v>30</v>
      </c>
      <c r="C29" s="4">
        <v>18</v>
      </c>
      <c r="D29" s="1">
        <f t="shared" si="0"/>
        <v>540</v>
      </c>
      <c r="E29" s="1">
        <v>1955</v>
      </c>
      <c r="F29" s="5">
        <f t="shared" si="1"/>
        <v>3.6203703703703702</v>
      </c>
      <c r="G29" s="9">
        <v>46054</v>
      </c>
    </row>
    <row r="30" spans="1:7" ht="13.5" thickBot="1" x14ac:dyDescent="0.25">
      <c r="A30" s="2" t="s">
        <v>34</v>
      </c>
      <c r="B30" s="3">
        <v>60</v>
      </c>
      <c r="C30" s="4">
        <v>18</v>
      </c>
      <c r="D30" s="1">
        <f t="shared" si="0"/>
        <v>1080</v>
      </c>
      <c r="E30" s="1">
        <v>1324</v>
      </c>
      <c r="F30" s="5">
        <f t="shared" si="1"/>
        <v>1.2259259259259259</v>
      </c>
      <c r="G30" s="9">
        <v>46054</v>
      </c>
    </row>
    <row r="31" spans="1:7" ht="15.75" customHeight="1" x14ac:dyDescent="0.25">
      <c r="A31" s="10" t="s">
        <v>6</v>
      </c>
      <c r="B31" s="10">
        <v>60</v>
      </c>
      <c r="C31" s="10">
        <v>22</v>
      </c>
      <c r="D31" s="10">
        <v>1320</v>
      </c>
      <c r="E31" s="10">
        <v>1017</v>
      </c>
      <c r="F31" s="11">
        <v>0.77</v>
      </c>
      <c r="G31" s="12">
        <v>46082</v>
      </c>
    </row>
    <row r="32" spans="1:7" ht="15.75" customHeight="1" x14ac:dyDescent="0.25">
      <c r="A32" s="10" t="s">
        <v>7</v>
      </c>
      <c r="B32" s="10">
        <v>50</v>
      </c>
      <c r="C32" s="10">
        <v>22</v>
      </c>
      <c r="D32" s="10">
        <v>1100</v>
      </c>
      <c r="E32" s="10">
        <v>964</v>
      </c>
      <c r="F32" s="11">
        <v>0.88</v>
      </c>
      <c r="G32" s="12">
        <v>46082</v>
      </c>
    </row>
    <row r="33" spans="1:7" ht="15.75" customHeight="1" x14ac:dyDescent="0.25">
      <c r="A33" s="10" t="s">
        <v>8</v>
      </c>
      <c r="B33" s="10">
        <v>60</v>
      </c>
      <c r="C33" s="10">
        <v>22</v>
      </c>
      <c r="D33" s="10">
        <v>1320</v>
      </c>
      <c r="E33" s="10">
        <v>1142</v>
      </c>
      <c r="F33" s="11">
        <v>0.87</v>
      </c>
      <c r="G33" s="12">
        <v>46082</v>
      </c>
    </row>
    <row r="34" spans="1:7" ht="15.75" customHeight="1" x14ac:dyDescent="0.25">
      <c r="A34" s="10" t="s">
        <v>9</v>
      </c>
      <c r="B34" s="10">
        <v>60</v>
      </c>
      <c r="C34" s="10">
        <v>22</v>
      </c>
      <c r="D34" s="10">
        <v>1320</v>
      </c>
      <c r="E34" s="10">
        <v>678</v>
      </c>
      <c r="F34" s="11">
        <v>0.51</v>
      </c>
      <c r="G34" s="12">
        <v>46082</v>
      </c>
    </row>
    <row r="35" spans="1:7" ht="15.75" customHeight="1" x14ac:dyDescent="0.25">
      <c r="A35" s="10" t="s">
        <v>10</v>
      </c>
      <c r="B35" s="10">
        <v>50</v>
      </c>
      <c r="C35" s="10">
        <v>22</v>
      </c>
      <c r="D35" s="10">
        <v>1100</v>
      </c>
      <c r="E35" s="10">
        <v>1119</v>
      </c>
      <c r="F35" s="11">
        <v>1.02</v>
      </c>
      <c r="G35" s="12">
        <v>46082</v>
      </c>
    </row>
    <row r="36" spans="1:7" ht="15.75" customHeight="1" x14ac:dyDescent="0.25">
      <c r="A36" s="10" t="s">
        <v>11</v>
      </c>
      <c r="B36" s="10">
        <v>100</v>
      </c>
      <c r="C36" s="10">
        <v>22</v>
      </c>
      <c r="D36" s="10">
        <v>2200</v>
      </c>
      <c r="E36" s="10">
        <v>3025</v>
      </c>
      <c r="F36" s="11">
        <v>1.38</v>
      </c>
      <c r="G36" s="12">
        <v>46082</v>
      </c>
    </row>
    <row r="37" spans="1:7" ht="15.75" customHeight="1" x14ac:dyDescent="0.25">
      <c r="A37" s="10" t="s">
        <v>36</v>
      </c>
      <c r="B37" s="10">
        <v>100</v>
      </c>
      <c r="C37" s="10">
        <v>22</v>
      </c>
      <c r="D37" s="10">
        <v>2200</v>
      </c>
      <c r="E37" s="10">
        <v>1896</v>
      </c>
      <c r="F37" s="11">
        <v>0.86</v>
      </c>
      <c r="G37" s="12">
        <v>46082</v>
      </c>
    </row>
    <row r="38" spans="1:7" ht="15.75" customHeight="1" x14ac:dyDescent="0.25">
      <c r="A38" s="10" t="s">
        <v>13</v>
      </c>
      <c r="B38" s="10">
        <v>80</v>
      </c>
      <c r="C38" s="10">
        <v>22</v>
      </c>
      <c r="D38" s="10">
        <v>1760</v>
      </c>
      <c r="E38" s="10">
        <v>1649</v>
      </c>
      <c r="F38" s="11">
        <v>0.94</v>
      </c>
      <c r="G38" s="12">
        <v>46082</v>
      </c>
    </row>
    <row r="39" spans="1:7" ht="15.75" customHeight="1" x14ac:dyDescent="0.25">
      <c r="A39" s="10" t="s">
        <v>14</v>
      </c>
      <c r="B39" s="10">
        <v>64</v>
      </c>
      <c r="C39" s="10">
        <v>22</v>
      </c>
      <c r="D39" s="10">
        <v>1408</v>
      </c>
      <c r="E39" s="10">
        <v>830</v>
      </c>
      <c r="F39" s="11">
        <v>0.59</v>
      </c>
      <c r="G39" s="12">
        <v>46082</v>
      </c>
    </row>
    <row r="40" spans="1:7" ht="15.75" customHeight="1" x14ac:dyDescent="0.25">
      <c r="A40" s="10" t="s">
        <v>15</v>
      </c>
      <c r="B40" s="10">
        <v>30</v>
      </c>
      <c r="C40" s="10">
        <v>22</v>
      </c>
      <c r="D40" s="10">
        <v>660</v>
      </c>
      <c r="E40" s="10">
        <v>365</v>
      </c>
      <c r="F40" s="11">
        <v>0.55000000000000004</v>
      </c>
      <c r="G40" s="12">
        <v>46082</v>
      </c>
    </row>
    <row r="41" spans="1:7" ht="15.75" customHeight="1" x14ac:dyDescent="0.25">
      <c r="A41" s="10" t="s">
        <v>16</v>
      </c>
      <c r="B41" s="10">
        <v>50</v>
      </c>
      <c r="C41" s="10">
        <v>22</v>
      </c>
      <c r="D41" s="10">
        <v>1100</v>
      </c>
      <c r="E41" s="10">
        <v>789</v>
      </c>
      <c r="F41" s="11">
        <v>0.72</v>
      </c>
      <c r="G41" s="12">
        <v>46082</v>
      </c>
    </row>
    <row r="42" spans="1:7" ht="15.75" customHeight="1" x14ac:dyDescent="0.25">
      <c r="A42" s="10" t="s">
        <v>17</v>
      </c>
      <c r="B42" s="10">
        <v>70</v>
      </c>
      <c r="C42" s="10">
        <v>22</v>
      </c>
      <c r="D42" s="10">
        <v>1540</v>
      </c>
      <c r="E42" s="10">
        <v>848</v>
      </c>
      <c r="F42" s="11">
        <v>0.55000000000000004</v>
      </c>
      <c r="G42" s="12">
        <v>46082</v>
      </c>
    </row>
    <row r="43" spans="1:7" ht="15.75" customHeight="1" x14ac:dyDescent="0.25">
      <c r="A43" s="10" t="s">
        <v>18</v>
      </c>
      <c r="B43" s="10">
        <v>100</v>
      </c>
      <c r="C43" s="10">
        <v>22</v>
      </c>
      <c r="D43" s="10">
        <v>2200</v>
      </c>
      <c r="E43" s="10">
        <v>1870</v>
      </c>
      <c r="F43" s="11">
        <v>0.85</v>
      </c>
      <c r="G43" s="12">
        <v>46082</v>
      </c>
    </row>
    <row r="44" spans="1:7" ht="15.75" customHeight="1" x14ac:dyDescent="0.25">
      <c r="A44" s="10" t="s">
        <v>19</v>
      </c>
      <c r="B44" s="10">
        <v>50</v>
      </c>
      <c r="C44" s="10">
        <v>22</v>
      </c>
      <c r="D44" s="10">
        <v>1100</v>
      </c>
      <c r="E44" s="10">
        <v>855</v>
      </c>
      <c r="F44" s="11">
        <v>0.78</v>
      </c>
      <c r="G44" s="12">
        <v>46082</v>
      </c>
    </row>
    <row r="45" spans="1:7" ht="15.75" customHeight="1" x14ac:dyDescent="0.25">
      <c r="A45" s="10" t="s">
        <v>20</v>
      </c>
      <c r="B45" s="10">
        <v>70</v>
      </c>
      <c r="C45" s="10">
        <v>22</v>
      </c>
      <c r="D45" s="10">
        <v>1540</v>
      </c>
      <c r="E45" s="10">
        <v>1573</v>
      </c>
      <c r="F45" s="11">
        <v>1.02</v>
      </c>
      <c r="G45" s="12">
        <v>46082</v>
      </c>
    </row>
    <row r="46" spans="1:7" ht="15.75" customHeight="1" x14ac:dyDescent="0.25">
      <c r="A46" s="10" t="s">
        <v>21</v>
      </c>
      <c r="B46" s="10">
        <v>30</v>
      </c>
      <c r="C46" s="10">
        <v>22</v>
      </c>
      <c r="D46" s="10">
        <v>660</v>
      </c>
      <c r="E46" s="10">
        <v>220</v>
      </c>
      <c r="F46" s="11">
        <v>0.33</v>
      </c>
      <c r="G46" s="12">
        <v>46082</v>
      </c>
    </row>
    <row r="47" spans="1:7" ht="15.75" customHeight="1" x14ac:dyDescent="0.25">
      <c r="A47" s="10" t="s">
        <v>22</v>
      </c>
      <c r="B47" s="10">
        <v>50</v>
      </c>
      <c r="C47" s="10">
        <v>22</v>
      </c>
      <c r="D47" s="10">
        <v>1100</v>
      </c>
      <c r="E47" s="10">
        <v>191</v>
      </c>
      <c r="F47" s="11">
        <v>0.17</v>
      </c>
      <c r="G47" s="12">
        <v>46082</v>
      </c>
    </row>
    <row r="48" spans="1:7" ht="15.75" customHeight="1" x14ac:dyDescent="0.25">
      <c r="A48" s="10" t="s">
        <v>23</v>
      </c>
      <c r="B48" s="10">
        <v>100</v>
      </c>
      <c r="C48" s="10">
        <v>22</v>
      </c>
      <c r="D48" s="10">
        <v>2200</v>
      </c>
      <c r="E48" s="10">
        <v>1313</v>
      </c>
      <c r="F48" s="11">
        <v>0.6</v>
      </c>
      <c r="G48" s="12">
        <v>46082</v>
      </c>
    </row>
    <row r="49" spans="1:7" ht="15.75" customHeight="1" x14ac:dyDescent="0.25">
      <c r="A49" s="10" t="s">
        <v>24</v>
      </c>
      <c r="B49" s="10">
        <v>20</v>
      </c>
      <c r="C49" s="10">
        <v>22</v>
      </c>
      <c r="D49" s="10">
        <v>440</v>
      </c>
      <c r="E49" s="10">
        <v>266</v>
      </c>
      <c r="F49" s="11">
        <v>0.6</v>
      </c>
      <c r="G49" s="12">
        <v>46082</v>
      </c>
    </row>
    <row r="50" spans="1:7" ht="15.75" customHeight="1" x14ac:dyDescent="0.25">
      <c r="A50" s="10" t="s">
        <v>25</v>
      </c>
      <c r="B50" s="10">
        <v>50</v>
      </c>
      <c r="C50" s="10">
        <v>22</v>
      </c>
      <c r="D50" s="10">
        <v>1100</v>
      </c>
      <c r="E50" s="10">
        <v>766</v>
      </c>
      <c r="F50" s="11">
        <v>0.7</v>
      </c>
      <c r="G50" s="12">
        <v>46082</v>
      </c>
    </row>
    <row r="51" spans="1:7" ht="15.75" customHeight="1" x14ac:dyDescent="0.25">
      <c r="A51" s="10" t="s">
        <v>27</v>
      </c>
      <c r="B51" s="10">
        <v>40</v>
      </c>
      <c r="C51" s="10">
        <v>22</v>
      </c>
      <c r="D51" s="10">
        <v>880</v>
      </c>
      <c r="E51" s="10">
        <v>708</v>
      </c>
      <c r="F51" s="11">
        <v>0.8</v>
      </c>
      <c r="G51" s="12">
        <v>46082</v>
      </c>
    </row>
    <row r="52" spans="1:7" ht="15.75" customHeight="1" x14ac:dyDescent="0.25">
      <c r="A52" s="10" t="s">
        <v>28</v>
      </c>
      <c r="B52" s="10">
        <v>20</v>
      </c>
      <c r="C52" s="10">
        <v>22</v>
      </c>
      <c r="D52" s="10">
        <v>440</v>
      </c>
      <c r="E52" s="10">
        <v>432</v>
      </c>
      <c r="F52" s="11">
        <v>0.98</v>
      </c>
      <c r="G52" s="12">
        <v>46082</v>
      </c>
    </row>
    <row r="53" spans="1:7" ht="15.75" customHeight="1" x14ac:dyDescent="0.25">
      <c r="A53" s="10" t="s">
        <v>29</v>
      </c>
      <c r="B53" s="10">
        <v>65</v>
      </c>
      <c r="C53" s="10">
        <v>22</v>
      </c>
      <c r="D53" s="10">
        <v>1430</v>
      </c>
      <c r="E53" s="10">
        <v>1277</v>
      </c>
      <c r="F53" s="11">
        <v>0.89</v>
      </c>
      <c r="G53" s="12">
        <v>46082</v>
      </c>
    </row>
    <row r="54" spans="1:7" ht="15.75" customHeight="1" x14ac:dyDescent="0.25">
      <c r="A54" s="10" t="s">
        <v>30</v>
      </c>
      <c r="B54" s="10">
        <v>40</v>
      </c>
      <c r="C54" s="10">
        <v>22</v>
      </c>
      <c r="D54" s="10">
        <v>880</v>
      </c>
      <c r="E54" s="10">
        <v>946</v>
      </c>
      <c r="F54" s="11">
        <v>1.08</v>
      </c>
      <c r="G54" s="12">
        <v>46082</v>
      </c>
    </row>
    <row r="55" spans="1:7" ht="15.75" customHeight="1" x14ac:dyDescent="0.25">
      <c r="A55" s="10" t="s">
        <v>31</v>
      </c>
      <c r="B55" s="10">
        <v>15</v>
      </c>
      <c r="C55" s="10">
        <v>22</v>
      </c>
      <c r="D55" s="10">
        <v>330</v>
      </c>
      <c r="E55" s="10">
        <v>260</v>
      </c>
      <c r="F55" s="11">
        <v>0.79</v>
      </c>
      <c r="G55" s="12">
        <v>46082</v>
      </c>
    </row>
    <row r="56" spans="1:7" ht="15.75" customHeight="1" x14ac:dyDescent="0.25">
      <c r="A56" s="10" t="s">
        <v>32</v>
      </c>
      <c r="B56" s="10">
        <v>60</v>
      </c>
      <c r="C56" s="10">
        <v>22</v>
      </c>
      <c r="D56" s="10">
        <v>1320</v>
      </c>
      <c r="E56" s="10">
        <v>1178</v>
      </c>
      <c r="F56" s="11">
        <v>0.89</v>
      </c>
      <c r="G56" s="12">
        <v>46082</v>
      </c>
    </row>
    <row r="57" spans="1:7" ht="15.75" customHeight="1" x14ac:dyDescent="0.25">
      <c r="A57" s="10" t="s">
        <v>33</v>
      </c>
      <c r="B57" s="10">
        <v>30</v>
      </c>
      <c r="C57" s="10">
        <v>22</v>
      </c>
      <c r="D57" s="10">
        <v>660</v>
      </c>
      <c r="E57" s="10">
        <v>2325</v>
      </c>
      <c r="F57" s="11">
        <v>3.52</v>
      </c>
      <c r="G57" s="12">
        <v>46082</v>
      </c>
    </row>
    <row r="58" spans="1:7" ht="15.75" customHeight="1" x14ac:dyDescent="0.25">
      <c r="A58" s="10" t="s">
        <v>34</v>
      </c>
      <c r="B58" s="10">
        <v>60</v>
      </c>
      <c r="C58" s="10">
        <v>22</v>
      </c>
      <c r="D58" s="10">
        <v>1320</v>
      </c>
      <c r="E58" s="10">
        <v>1434</v>
      </c>
      <c r="F58" s="11">
        <v>1.0900000000000001</v>
      </c>
      <c r="G58" s="12">
        <v>46082</v>
      </c>
    </row>
    <row r="59" spans="1:7" ht="15.75" customHeight="1" x14ac:dyDescent="0.25">
      <c r="A59" s="10" t="s">
        <v>6</v>
      </c>
      <c r="B59" s="10">
        <v>60</v>
      </c>
      <c r="C59" s="10">
        <v>20</v>
      </c>
      <c r="D59" s="10">
        <v>1200</v>
      </c>
      <c r="E59" s="10">
        <v>881</v>
      </c>
      <c r="F59" s="11">
        <v>0.73</v>
      </c>
      <c r="G59" s="12">
        <v>46113</v>
      </c>
    </row>
    <row r="60" spans="1:7" ht="15.75" customHeight="1" x14ac:dyDescent="0.25">
      <c r="A60" s="10" t="s">
        <v>7</v>
      </c>
      <c r="B60" s="10">
        <v>50</v>
      </c>
      <c r="C60" s="10">
        <v>20</v>
      </c>
      <c r="D60" s="10">
        <v>1000</v>
      </c>
      <c r="E60" s="10">
        <v>554</v>
      </c>
      <c r="F60" s="11">
        <v>0.55000000000000004</v>
      </c>
      <c r="G60" s="12">
        <v>46113</v>
      </c>
    </row>
    <row r="61" spans="1:7" ht="15.75" customHeight="1" x14ac:dyDescent="0.25">
      <c r="A61" s="10" t="s">
        <v>8</v>
      </c>
      <c r="B61" s="10">
        <v>70</v>
      </c>
      <c r="C61" s="10">
        <v>20</v>
      </c>
      <c r="D61" s="10">
        <v>1400</v>
      </c>
      <c r="E61" s="10">
        <v>829</v>
      </c>
      <c r="F61" s="11">
        <v>0.59</v>
      </c>
      <c r="G61" s="12">
        <v>46113</v>
      </c>
    </row>
    <row r="62" spans="1:7" ht="15.75" customHeight="1" x14ac:dyDescent="0.25">
      <c r="A62" s="10" t="s">
        <v>9</v>
      </c>
      <c r="B62" s="10">
        <v>60</v>
      </c>
      <c r="C62" s="10">
        <v>20</v>
      </c>
      <c r="D62" s="10">
        <v>1200</v>
      </c>
      <c r="E62" s="10">
        <v>88</v>
      </c>
      <c r="F62" s="11">
        <v>7.0000000000000007E-2</v>
      </c>
      <c r="G62" s="12">
        <v>46113</v>
      </c>
    </row>
    <row r="63" spans="1:7" ht="15.75" customHeight="1" x14ac:dyDescent="0.25">
      <c r="A63" s="10" t="s">
        <v>37</v>
      </c>
      <c r="B63" s="10">
        <v>50</v>
      </c>
      <c r="C63" s="10">
        <v>20</v>
      </c>
      <c r="D63" s="10">
        <v>1000</v>
      </c>
      <c r="E63" s="10">
        <v>454</v>
      </c>
      <c r="F63" s="11">
        <v>0.45</v>
      </c>
      <c r="G63" s="12">
        <v>46113</v>
      </c>
    </row>
    <row r="64" spans="1:7" ht="15.75" customHeight="1" x14ac:dyDescent="0.25">
      <c r="A64" s="10" t="s">
        <v>10</v>
      </c>
      <c r="B64" s="10">
        <v>50</v>
      </c>
      <c r="C64" s="10">
        <v>20</v>
      </c>
      <c r="D64" s="10">
        <v>1000</v>
      </c>
      <c r="E64" s="10">
        <v>1114</v>
      </c>
      <c r="F64" s="11">
        <v>1.1100000000000001</v>
      </c>
      <c r="G64" s="12">
        <v>46113</v>
      </c>
    </row>
    <row r="65" spans="1:7" ht="15.75" customHeight="1" x14ac:dyDescent="0.25">
      <c r="A65" s="10" t="s">
        <v>11</v>
      </c>
      <c r="B65" s="10">
        <v>100</v>
      </c>
      <c r="C65" s="10">
        <v>20</v>
      </c>
      <c r="D65" s="10">
        <v>2000</v>
      </c>
      <c r="E65" s="10">
        <v>2963</v>
      </c>
      <c r="F65" s="11">
        <v>1.48</v>
      </c>
      <c r="G65" s="12">
        <v>46113</v>
      </c>
    </row>
    <row r="66" spans="1:7" ht="15.75" customHeight="1" x14ac:dyDescent="0.25">
      <c r="A66" s="10" t="s">
        <v>36</v>
      </c>
      <c r="B66" s="10">
        <v>100</v>
      </c>
      <c r="C66" s="10">
        <v>20</v>
      </c>
      <c r="D66" s="10">
        <v>2000</v>
      </c>
      <c r="E66" s="10">
        <v>1910</v>
      </c>
      <c r="F66" s="11">
        <v>0.96</v>
      </c>
      <c r="G66" s="12">
        <v>46113</v>
      </c>
    </row>
    <row r="67" spans="1:7" ht="15.75" customHeight="1" x14ac:dyDescent="0.25">
      <c r="A67" s="10" t="s">
        <v>13</v>
      </c>
      <c r="B67" s="10">
        <v>60</v>
      </c>
      <c r="C67" s="10">
        <v>20</v>
      </c>
      <c r="D67" s="10">
        <v>1200</v>
      </c>
      <c r="E67" s="10">
        <v>1375</v>
      </c>
      <c r="F67" s="11">
        <v>1.1499999999999999</v>
      </c>
      <c r="G67" s="12">
        <v>46113</v>
      </c>
    </row>
    <row r="68" spans="1:7" ht="15.75" customHeight="1" x14ac:dyDescent="0.25">
      <c r="A68" s="10" t="s">
        <v>14</v>
      </c>
      <c r="B68" s="10">
        <v>80</v>
      </c>
      <c r="C68" s="10">
        <v>20</v>
      </c>
      <c r="D68" s="10">
        <v>1600</v>
      </c>
      <c r="E68" s="10">
        <v>890</v>
      </c>
      <c r="F68" s="11">
        <v>0.56000000000000005</v>
      </c>
      <c r="G68" s="12">
        <v>46113</v>
      </c>
    </row>
    <row r="69" spans="1:7" ht="15.75" customHeight="1" x14ac:dyDescent="0.25">
      <c r="A69" s="10" t="s">
        <v>15</v>
      </c>
      <c r="B69" s="10">
        <v>30</v>
      </c>
      <c r="C69" s="10">
        <v>20</v>
      </c>
      <c r="D69" s="10">
        <v>600</v>
      </c>
      <c r="E69" s="10">
        <v>189</v>
      </c>
      <c r="F69" s="11">
        <v>0.32</v>
      </c>
      <c r="G69" s="12">
        <v>46113</v>
      </c>
    </row>
    <row r="70" spans="1:7" ht="15.75" customHeight="1" x14ac:dyDescent="0.25">
      <c r="A70" s="10" t="s">
        <v>16</v>
      </c>
      <c r="B70" s="10">
        <v>40</v>
      </c>
      <c r="C70" s="10">
        <v>20</v>
      </c>
      <c r="D70" s="10">
        <v>800</v>
      </c>
      <c r="E70" s="10">
        <v>742</v>
      </c>
      <c r="F70" s="11">
        <v>0.93</v>
      </c>
      <c r="G70" s="12">
        <v>46113</v>
      </c>
    </row>
    <row r="71" spans="1:7" ht="15.75" customHeight="1" x14ac:dyDescent="0.25">
      <c r="A71" s="10" t="s">
        <v>17</v>
      </c>
      <c r="B71" s="10">
        <v>50</v>
      </c>
      <c r="C71" s="10">
        <v>20</v>
      </c>
      <c r="D71" s="10">
        <v>1000</v>
      </c>
      <c r="E71" s="10">
        <v>533</v>
      </c>
      <c r="F71" s="11">
        <v>0.53</v>
      </c>
      <c r="G71" s="12">
        <v>46113</v>
      </c>
    </row>
    <row r="72" spans="1:7" ht="15.75" customHeight="1" x14ac:dyDescent="0.25">
      <c r="A72" s="10" t="s">
        <v>18</v>
      </c>
      <c r="B72" s="10">
        <v>90</v>
      </c>
      <c r="C72" s="10">
        <v>20</v>
      </c>
      <c r="D72" s="10">
        <v>1800</v>
      </c>
      <c r="E72" s="10">
        <v>1613</v>
      </c>
      <c r="F72" s="11">
        <v>0.9</v>
      </c>
      <c r="G72" s="12">
        <v>46113</v>
      </c>
    </row>
    <row r="73" spans="1:7" ht="15.75" customHeight="1" x14ac:dyDescent="0.25">
      <c r="A73" s="10" t="s">
        <v>19</v>
      </c>
      <c r="B73" s="10">
        <v>30</v>
      </c>
      <c r="C73" s="10">
        <v>20</v>
      </c>
      <c r="D73" s="10">
        <v>600</v>
      </c>
      <c r="E73" s="10">
        <v>259</v>
      </c>
      <c r="F73" s="11">
        <v>0.43</v>
      </c>
      <c r="G73" s="12">
        <v>46113</v>
      </c>
    </row>
    <row r="74" spans="1:7" ht="15.75" customHeight="1" x14ac:dyDescent="0.25">
      <c r="A74" s="10" t="s">
        <v>38</v>
      </c>
      <c r="B74" s="10">
        <v>35</v>
      </c>
      <c r="C74" s="10">
        <v>20</v>
      </c>
      <c r="D74" s="10">
        <v>700</v>
      </c>
      <c r="E74" s="10">
        <v>422</v>
      </c>
      <c r="F74" s="11">
        <v>0.6</v>
      </c>
      <c r="G74" s="12">
        <v>46113</v>
      </c>
    </row>
    <row r="75" spans="1:7" ht="15.75" customHeight="1" x14ac:dyDescent="0.25">
      <c r="A75" s="10" t="s">
        <v>20</v>
      </c>
      <c r="B75" s="10">
        <v>70</v>
      </c>
      <c r="C75" s="10">
        <v>20</v>
      </c>
      <c r="D75" s="10">
        <v>1400</v>
      </c>
      <c r="E75" s="10">
        <v>1629</v>
      </c>
      <c r="F75" s="11">
        <v>1.1599999999999999</v>
      </c>
      <c r="G75" s="12">
        <v>46113</v>
      </c>
    </row>
    <row r="76" spans="1:7" ht="15.75" customHeight="1" x14ac:dyDescent="0.25">
      <c r="A76" s="10" t="s">
        <v>21</v>
      </c>
      <c r="B76" s="10">
        <v>30</v>
      </c>
      <c r="C76" s="10">
        <v>20</v>
      </c>
      <c r="D76" s="10">
        <v>600</v>
      </c>
      <c r="E76" s="10">
        <v>421</v>
      </c>
      <c r="F76" s="11">
        <v>0.7</v>
      </c>
      <c r="G76" s="12">
        <v>46113</v>
      </c>
    </row>
    <row r="77" spans="1:7" ht="15.75" customHeight="1" x14ac:dyDescent="0.25">
      <c r="A77" s="10" t="s">
        <v>23</v>
      </c>
      <c r="B77" s="10">
        <v>100</v>
      </c>
      <c r="C77" s="10">
        <v>20</v>
      </c>
      <c r="D77" s="10">
        <v>2000</v>
      </c>
      <c r="E77" s="10">
        <v>1263</v>
      </c>
      <c r="F77" s="11">
        <v>0.63</v>
      </c>
      <c r="G77" s="12">
        <v>46113</v>
      </c>
    </row>
    <row r="78" spans="1:7" ht="15.75" customHeight="1" x14ac:dyDescent="0.25">
      <c r="A78" s="10" t="s">
        <v>24</v>
      </c>
      <c r="B78" s="10">
        <v>30</v>
      </c>
      <c r="C78" s="10">
        <v>20</v>
      </c>
      <c r="D78" s="10">
        <v>600</v>
      </c>
      <c r="E78" s="10">
        <v>206</v>
      </c>
      <c r="F78" s="11">
        <v>0.34</v>
      </c>
      <c r="G78" s="12">
        <v>46113</v>
      </c>
    </row>
    <row r="79" spans="1:7" ht="15.75" customHeight="1" x14ac:dyDescent="0.25">
      <c r="A79" s="10" t="s">
        <v>25</v>
      </c>
      <c r="B79" s="10">
        <v>50</v>
      </c>
      <c r="C79" s="10">
        <v>20</v>
      </c>
      <c r="D79" s="10">
        <v>1000</v>
      </c>
      <c r="E79" s="10">
        <v>810</v>
      </c>
      <c r="F79" s="11">
        <v>0.81</v>
      </c>
      <c r="G79" s="12">
        <v>46113</v>
      </c>
    </row>
    <row r="80" spans="1:7" ht="15.75" customHeight="1" x14ac:dyDescent="0.25">
      <c r="A80" s="10" t="s">
        <v>39</v>
      </c>
      <c r="B80" s="10">
        <v>40</v>
      </c>
      <c r="C80" s="10">
        <v>20</v>
      </c>
      <c r="D80" s="10">
        <v>800</v>
      </c>
      <c r="E80" s="10">
        <v>606</v>
      </c>
      <c r="F80" s="11">
        <v>0.76</v>
      </c>
      <c r="G80" s="12">
        <v>46113</v>
      </c>
    </row>
    <row r="81" spans="1:7" ht="15.75" customHeight="1" x14ac:dyDescent="0.25">
      <c r="A81" s="10" t="s">
        <v>40</v>
      </c>
      <c r="B81" s="10">
        <v>15</v>
      </c>
      <c r="C81" s="10">
        <v>20</v>
      </c>
      <c r="D81" s="10">
        <v>300</v>
      </c>
      <c r="E81" s="10">
        <v>300</v>
      </c>
      <c r="F81" s="11">
        <v>1</v>
      </c>
      <c r="G81" s="12">
        <v>46113</v>
      </c>
    </row>
    <row r="82" spans="1:7" ht="15.75" customHeight="1" x14ac:dyDescent="0.25">
      <c r="A82" s="10" t="s">
        <v>27</v>
      </c>
      <c r="B82" s="10">
        <v>40</v>
      </c>
      <c r="C82" s="10">
        <v>20</v>
      </c>
      <c r="D82" s="10">
        <v>800</v>
      </c>
      <c r="E82" s="10">
        <v>716</v>
      </c>
      <c r="F82" s="11">
        <v>0.9</v>
      </c>
      <c r="G82" s="12">
        <v>46113</v>
      </c>
    </row>
    <row r="83" spans="1:7" ht="15.75" customHeight="1" x14ac:dyDescent="0.25">
      <c r="A83" s="10" t="s">
        <v>28</v>
      </c>
      <c r="B83" s="10">
        <v>40</v>
      </c>
      <c r="C83" s="10">
        <v>20</v>
      </c>
      <c r="D83" s="10">
        <v>800</v>
      </c>
      <c r="E83" s="10">
        <v>286</v>
      </c>
      <c r="F83" s="11">
        <v>0.36</v>
      </c>
      <c r="G83" s="12">
        <v>46113</v>
      </c>
    </row>
    <row r="84" spans="1:7" ht="15.75" customHeight="1" x14ac:dyDescent="0.25">
      <c r="A84" s="10" t="s">
        <v>29</v>
      </c>
      <c r="B84" s="10">
        <v>65</v>
      </c>
      <c r="C84" s="10">
        <v>20</v>
      </c>
      <c r="D84" s="10">
        <v>1300</v>
      </c>
      <c r="E84" s="10">
        <v>1551</v>
      </c>
      <c r="F84" s="11">
        <v>1.19</v>
      </c>
      <c r="G84" s="12">
        <v>46113</v>
      </c>
    </row>
    <row r="85" spans="1:7" ht="15.75" customHeight="1" x14ac:dyDescent="0.25">
      <c r="A85" s="10" t="s">
        <v>41</v>
      </c>
      <c r="B85" s="10">
        <v>30</v>
      </c>
      <c r="C85" s="10">
        <v>20</v>
      </c>
      <c r="D85" s="10">
        <v>600</v>
      </c>
      <c r="E85" s="10">
        <v>307</v>
      </c>
      <c r="F85" s="11">
        <v>0.51</v>
      </c>
      <c r="G85" s="12">
        <v>46113</v>
      </c>
    </row>
    <row r="86" spans="1:7" ht="15.75" customHeight="1" x14ac:dyDescent="0.25">
      <c r="A86" s="10" t="s">
        <v>30</v>
      </c>
      <c r="B86" s="10">
        <v>40</v>
      </c>
      <c r="C86" s="10">
        <v>20</v>
      </c>
      <c r="D86" s="10">
        <v>800</v>
      </c>
      <c r="E86" s="10">
        <v>1268</v>
      </c>
      <c r="F86" s="11">
        <v>1.59</v>
      </c>
      <c r="G86" s="12">
        <v>46113</v>
      </c>
    </row>
    <row r="87" spans="1:7" ht="15.75" customHeight="1" x14ac:dyDescent="0.25">
      <c r="A87" s="10" t="s">
        <v>31</v>
      </c>
      <c r="B87" s="10">
        <v>15</v>
      </c>
      <c r="C87" s="10">
        <v>20</v>
      </c>
      <c r="D87" s="10">
        <v>300</v>
      </c>
      <c r="E87" s="10">
        <v>272</v>
      </c>
      <c r="F87" s="11">
        <v>0.91</v>
      </c>
      <c r="G87" s="12">
        <v>46113</v>
      </c>
    </row>
    <row r="88" spans="1:7" ht="15.75" customHeight="1" x14ac:dyDescent="0.25">
      <c r="A88" s="10" t="s">
        <v>32</v>
      </c>
      <c r="B88" s="10">
        <v>60</v>
      </c>
      <c r="C88" s="10">
        <v>20</v>
      </c>
      <c r="D88" s="10">
        <v>1200</v>
      </c>
      <c r="E88" s="10">
        <v>1009</v>
      </c>
      <c r="F88" s="11">
        <v>0.84</v>
      </c>
      <c r="G88" s="12">
        <v>46113</v>
      </c>
    </row>
    <row r="89" spans="1:7" ht="15.75" customHeight="1" x14ac:dyDescent="0.25">
      <c r="A89" s="10" t="s">
        <v>33</v>
      </c>
      <c r="B89" s="10">
        <v>40</v>
      </c>
      <c r="C89" s="10">
        <v>20</v>
      </c>
      <c r="D89" s="10">
        <v>800</v>
      </c>
      <c r="E89" s="10">
        <v>2218</v>
      </c>
      <c r="F89" s="11">
        <v>2.77</v>
      </c>
      <c r="G89" s="12">
        <v>46113</v>
      </c>
    </row>
    <row r="90" spans="1:7" ht="15.75" customHeight="1" x14ac:dyDescent="0.25">
      <c r="A90" s="10" t="s">
        <v>34</v>
      </c>
      <c r="B90" s="10">
        <v>80</v>
      </c>
      <c r="C90" s="10">
        <v>20</v>
      </c>
      <c r="D90" s="10">
        <v>1600</v>
      </c>
      <c r="E90" s="10">
        <v>893</v>
      </c>
      <c r="F90" s="11">
        <v>0.56000000000000005</v>
      </c>
      <c r="G90" s="12">
        <v>46113</v>
      </c>
    </row>
    <row r="91" spans="1:7" ht="15.75" customHeight="1" x14ac:dyDescent="0.25">
      <c r="A91" s="10" t="s">
        <v>6</v>
      </c>
      <c r="B91" s="10">
        <v>60</v>
      </c>
      <c r="C91" s="10">
        <v>21</v>
      </c>
      <c r="D91" s="10">
        <v>1260</v>
      </c>
      <c r="E91" s="10">
        <v>935</v>
      </c>
      <c r="F91" s="11">
        <v>0.74</v>
      </c>
      <c r="G91" s="12">
        <v>46143</v>
      </c>
    </row>
    <row r="92" spans="1:7" ht="15.75" customHeight="1" x14ac:dyDescent="0.25">
      <c r="A92" s="10" t="s">
        <v>7</v>
      </c>
      <c r="B92" s="10">
        <v>50</v>
      </c>
      <c r="C92" s="10">
        <v>21</v>
      </c>
      <c r="D92" s="10">
        <v>1050</v>
      </c>
      <c r="E92" s="10">
        <v>361</v>
      </c>
      <c r="F92" s="11">
        <v>0.34</v>
      </c>
      <c r="G92" s="12">
        <v>46143</v>
      </c>
    </row>
    <row r="93" spans="1:7" ht="15.75" customHeight="1" x14ac:dyDescent="0.25">
      <c r="A93" s="10" t="s">
        <v>8</v>
      </c>
      <c r="B93" s="10">
        <v>70</v>
      </c>
      <c r="C93" s="10">
        <v>21</v>
      </c>
      <c r="D93" s="10">
        <v>1470</v>
      </c>
      <c r="E93" s="10">
        <v>815</v>
      </c>
      <c r="F93" s="11">
        <v>0.55000000000000004</v>
      </c>
      <c r="G93" s="12">
        <v>46143</v>
      </c>
    </row>
    <row r="94" spans="1:7" ht="15.75" customHeight="1" x14ac:dyDescent="0.25">
      <c r="A94" s="10" t="s">
        <v>9</v>
      </c>
      <c r="B94" s="10">
        <v>60</v>
      </c>
      <c r="C94" s="10">
        <v>21</v>
      </c>
      <c r="D94" s="10">
        <v>1260</v>
      </c>
      <c r="E94" s="10">
        <v>559</v>
      </c>
      <c r="F94" s="11">
        <v>0.44</v>
      </c>
      <c r="G94" s="12">
        <v>46143</v>
      </c>
    </row>
    <row r="95" spans="1:7" ht="15.75" customHeight="1" x14ac:dyDescent="0.25">
      <c r="A95" s="10" t="s">
        <v>37</v>
      </c>
      <c r="B95" s="10">
        <v>50</v>
      </c>
      <c r="C95" s="10">
        <v>21</v>
      </c>
      <c r="D95" s="10">
        <v>1050</v>
      </c>
      <c r="E95" s="10">
        <v>554</v>
      </c>
      <c r="F95" s="11">
        <v>0.53</v>
      </c>
      <c r="G95" s="12">
        <v>46143</v>
      </c>
    </row>
    <row r="96" spans="1:7" ht="15.75" customHeight="1" x14ac:dyDescent="0.25">
      <c r="A96" s="10" t="s">
        <v>10</v>
      </c>
      <c r="B96" s="10">
        <v>50</v>
      </c>
      <c r="C96" s="10">
        <v>21</v>
      </c>
      <c r="D96" s="10">
        <v>1050</v>
      </c>
      <c r="E96" s="10">
        <v>1141</v>
      </c>
      <c r="F96" s="11">
        <v>1.0900000000000001</v>
      </c>
      <c r="G96" s="12">
        <v>46143</v>
      </c>
    </row>
    <row r="97" spans="1:7" ht="15.75" customHeight="1" x14ac:dyDescent="0.25">
      <c r="A97" s="10" t="s">
        <v>11</v>
      </c>
      <c r="B97" s="10">
        <v>100</v>
      </c>
      <c r="C97" s="10">
        <v>21</v>
      </c>
      <c r="D97" s="10">
        <v>2100</v>
      </c>
      <c r="E97" s="10">
        <v>3048</v>
      </c>
      <c r="F97" s="11">
        <v>1.45</v>
      </c>
      <c r="G97" s="12">
        <v>46143</v>
      </c>
    </row>
    <row r="98" spans="1:7" ht="15.75" customHeight="1" x14ac:dyDescent="0.25">
      <c r="A98" s="10" t="s">
        <v>36</v>
      </c>
      <c r="B98" s="10">
        <v>100</v>
      </c>
      <c r="C98" s="10">
        <v>21</v>
      </c>
      <c r="D98" s="10">
        <v>2100</v>
      </c>
      <c r="E98" s="10">
        <v>1883</v>
      </c>
      <c r="F98" s="11">
        <v>0.9</v>
      </c>
      <c r="G98" s="12">
        <v>46143</v>
      </c>
    </row>
    <row r="99" spans="1:7" ht="15.75" customHeight="1" x14ac:dyDescent="0.25">
      <c r="A99" s="10" t="s">
        <v>13</v>
      </c>
      <c r="B99" s="10">
        <v>60</v>
      </c>
      <c r="C99" s="10">
        <v>21</v>
      </c>
      <c r="D99" s="10">
        <v>1260</v>
      </c>
      <c r="E99" s="10">
        <v>1566</v>
      </c>
      <c r="F99" s="11">
        <v>1.24</v>
      </c>
      <c r="G99" s="12">
        <v>46143</v>
      </c>
    </row>
    <row r="100" spans="1:7" ht="15.75" customHeight="1" x14ac:dyDescent="0.25">
      <c r="A100" s="10" t="s">
        <v>14</v>
      </c>
      <c r="B100" s="10">
        <v>80</v>
      </c>
      <c r="C100" s="10">
        <v>21</v>
      </c>
      <c r="D100" s="10">
        <v>1680</v>
      </c>
      <c r="E100" s="10">
        <v>665</v>
      </c>
      <c r="F100" s="11">
        <v>0.4</v>
      </c>
      <c r="G100" s="12">
        <v>46143</v>
      </c>
    </row>
    <row r="101" spans="1:7" ht="15.75" customHeight="1" x14ac:dyDescent="0.25">
      <c r="A101" s="10" t="s">
        <v>15</v>
      </c>
      <c r="B101" s="10">
        <v>30</v>
      </c>
      <c r="C101" s="10">
        <v>21</v>
      </c>
      <c r="D101" s="10">
        <v>630</v>
      </c>
      <c r="E101" s="10">
        <v>145</v>
      </c>
      <c r="F101" s="11">
        <v>0.23</v>
      </c>
      <c r="G101" s="12">
        <v>46143</v>
      </c>
    </row>
    <row r="102" spans="1:7" ht="15.75" customHeight="1" x14ac:dyDescent="0.25">
      <c r="A102" s="10" t="s">
        <v>16</v>
      </c>
      <c r="B102" s="10">
        <v>40</v>
      </c>
      <c r="C102" s="10">
        <v>21</v>
      </c>
      <c r="D102" s="10">
        <v>840</v>
      </c>
      <c r="E102" s="10">
        <v>771</v>
      </c>
      <c r="F102" s="11">
        <v>0.92</v>
      </c>
      <c r="G102" s="12">
        <v>46143</v>
      </c>
    </row>
    <row r="103" spans="1:7" ht="15.75" customHeight="1" x14ac:dyDescent="0.25">
      <c r="A103" s="10" t="s">
        <v>17</v>
      </c>
      <c r="B103" s="10">
        <v>50</v>
      </c>
      <c r="C103" s="10">
        <v>21</v>
      </c>
      <c r="D103" s="10">
        <v>1050</v>
      </c>
      <c r="E103" s="10">
        <v>624</v>
      </c>
      <c r="F103" s="11">
        <v>0.59</v>
      </c>
      <c r="G103" s="12">
        <v>46143</v>
      </c>
    </row>
    <row r="104" spans="1:7" ht="15.75" customHeight="1" x14ac:dyDescent="0.25">
      <c r="A104" s="10" t="s">
        <v>18</v>
      </c>
      <c r="B104" s="10">
        <v>90</v>
      </c>
      <c r="C104" s="10">
        <v>21</v>
      </c>
      <c r="D104" s="10">
        <v>1890</v>
      </c>
      <c r="E104" s="10">
        <v>1774</v>
      </c>
      <c r="F104" s="11">
        <v>0.94</v>
      </c>
      <c r="G104" s="12">
        <v>46143</v>
      </c>
    </row>
    <row r="105" spans="1:7" ht="15.75" customHeight="1" x14ac:dyDescent="0.25">
      <c r="A105" s="10" t="s">
        <v>19</v>
      </c>
      <c r="B105" s="10">
        <v>30</v>
      </c>
      <c r="C105" s="10">
        <v>21</v>
      </c>
      <c r="D105" s="10">
        <v>630</v>
      </c>
      <c r="E105" s="10">
        <v>832</v>
      </c>
      <c r="F105" s="11">
        <v>1.32</v>
      </c>
      <c r="G105" s="12">
        <v>46143</v>
      </c>
    </row>
    <row r="106" spans="1:7" ht="15.75" customHeight="1" x14ac:dyDescent="0.25">
      <c r="A106" s="10" t="s">
        <v>38</v>
      </c>
      <c r="B106" s="10">
        <v>35</v>
      </c>
      <c r="C106" s="10">
        <v>21</v>
      </c>
      <c r="D106" s="10">
        <v>735</v>
      </c>
      <c r="E106" s="10">
        <v>649</v>
      </c>
      <c r="F106" s="11">
        <v>0.88</v>
      </c>
      <c r="G106" s="12">
        <v>46143</v>
      </c>
    </row>
    <row r="107" spans="1:7" ht="15.75" customHeight="1" x14ac:dyDescent="0.25">
      <c r="A107" s="10" t="s">
        <v>20</v>
      </c>
      <c r="B107" s="10">
        <v>70</v>
      </c>
      <c r="C107" s="10">
        <v>21</v>
      </c>
      <c r="D107" s="10">
        <v>1470</v>
      </c>
      <c r="E107" s="10">
        <v>1672</v>
      </c>
      <c r="F107" s="11">
        <v>1.1299999999999999</v>
      </c>
      <c r="G107" s="12">
        <v>46143</v>
      </c>
    </row>
    <row r="108" spans="1:7" ht="15.75" customHeight="1" x14ac:dyDescent="0.25">
      <c r="A108" s="10" t="s">
        <v>21</v>
      </c>
      <c r="B108" s="10">
        <v>30</v>
      </c>
      <c r="C108" s="10">
        <v>21</v>
      </c>
      <c r="D108" s="10">
        <v>630</v>
      </c>
      <c r="E108" s="10">
        <v>487</v>
      </c>
      <c r="F108" s="11">
        <v>0.77</v>
      </c>
      <c r="G108" s="12">
        <v>46143</v>
      </c>
    </row>
    <row r="109" spans="1:7" ht="15.75" customHeight="1" x14ac:dyDescent="0.25">
      <c r="A109" s="10" t="s">
        <v>23</v>
      </c>
      <c r="B109" s="10">
        <v>100</v>
      </c>
      <c r="C109" s="10">
        <v>21</v>
      </c>
      <c r="D109" s="10">
        <v>2100</v>
      </c>
      <c r="E109" s="10">
        <v>1125</v>
      </c>
      <c r="F109" s="11">
        <v>0.54</v>
      </c>
      <c r="G109" s="12">
        <v>46143</v>
      </c>
    </row>
    <row r="110" spans="1:7" ht="15.75" customHeight="1" x14ac:dyDescent="0.25">
      <c r="A110" s="10" t="s">
        <v>24</v>
      </c>
      <c r="B110" s="10">
        <v>30</v>
      </c>
      <c r="C110" s="10">
        <v>21</v>
      </c>
      <c r="D110" s="10">
        <v>630</v>
      </c>
      <c r="E110" s="10">
        <v>405</v>
      </c>
      <c r="F110" s="11">
        <v>0.64</v>
      </c>
      <c r="G110" s="12">
        <v>46143</v>
      </c>
    </row>
    <row r="111" spans="1:7" ht="15.75" customHeight="1" x14ac:dyDescent="0.25">
      <c r="A111" s="10" t="s">
        <v>25</v>
      </c>
      <c r="B111" s="10">
        <v>50</v>
      </c>
      <c r="C111" s="10">
        <v>21</v>
      </c>
      <c r="D111" s="10">
        <v>1050</v>
      </c>
      <c r="E111" s="10">
        <v>737</v>
      </c>
      <c r="F111" s="11">
        <v>0.7</v>
      </c>
      <c r="G111" s="12">
        <v>46143</v>
      </c>
    </row>
    <row r="112" spans="1:7" ht="15.75" customHeight="1" x14ac:dyDescent="0.25">
      <c r="A112" s="10" t="s">
        <v>39</v>
      </c>
      <c r="B112" s="10">
        <v>40</v>
      </c>
      <c r="C112" s="10">
        <v>21</v>
      </c>
      <c r="D112" s="10">
        <v>840</v>
      </c>
      <c r="E112" s="10">
        <v>844</v>
      </c>
      <c r="F112" s="11">
        <v>1</v>
      </c>
      <c r="G112" s="12">
        <v>46143</v>
      </c>
    </row>
    <row r="113" spans="1:7" ht="15.75" customHeight="1" x14ac:dyDescent="0.25">
      <c r="A113" s="10" t="s">
        <v>40</v>
      </c>
      <c r="B113" s="10">
        <v>15</v>
      </c>
      <c r="C113" s="10">
        <v>21</v>
      </c>
      <c r="D113" s="10">
        <v>315</v>
      </c>
      <c r="E113" s="10">
        <v>303</v>
      </c>
      <c r="F113" s="11">
        <v>0.96</v>
      </c>
      <c r="G113" s="12">
        <v>46143</v>
      </c>
    </row>
    <row r="114" spans="1:7" ht="15.75" customHeight="1" x14ac:dyDescent="0.25">
      <c r="A114" s="10" t="s">
        <v>27</v>
      </c>
      <c r="B114" s="10">
        <v>40</v>
      </c>
      <c r="C114" s="10">
        <v>21</v>
      </c>
      <c r="D114" s="10">
        <v>840</v>
      </c>
      <c r="E114" s="10">
        <v>664</v>
      </c>
      <c r="F114" s="11">
        <v>0.79</v>
      </c>
      <c r="G114" s="12">
        <v>46143</v>
      </c>
    </row>
    <row r="115" spans="1:7" ht="15.75" customHeight="1" x14ac:dyDescent="0.25">
      <c r="A115" s="10" t="s">
        <v>28</v>
      </c>
      <c r="B115" s="10">
        <v>40</v>
      </c>
      <c r="C115" s="10">
        <v>21</v>
      </c>
      <c r="D115" s="10">
        <v>840</v>
      </c>
      <c r="E115" s="10">
        <v>320</v>
      </c>
      <c r="F115" s="11">
        <v>0.38</v>
      </c>
      <c r="G115" s="12">
        <v>46143</v>
      </c>
    </row>
    <row r="116" spans="1:7" ht="15.75" customHeight="1" x14ac:dyDescent="0.25">
      <c r="A116" s="10" t="s">
        <v>29</v>
      </c>
      <c r="B116" s="10">
        <v>65</v>
      </c>
      <c r="C116" s="10">
        <v>21</v>
      </c>
      <c r="D116" s="10">
        <v>1365</v>
      </c>
      <c r="E116" s="10">
        <v>1471</v>
      </c>
      <c r="F116" s="11">
        <v>1.08</v>
      </c>
      <c r="G116" s="12">
        <v>46143</v>
      </c>
    </row>
    <row r="117" spans="1:7" ht="15.75" customHeight="1" x14ac:dyDescent="0.25">
      <c r="A117" s="10" t="s">
        <v>41</v>
      </c>
      <c r="B117" s="10">
        <v>30</v>
      </c>
      <c r="C117" s="10">
        <v>21</v>
      </c>
      <c r="D117" s="10">
        <v>630</v>
      </c>
      <c r="E117" s="10">
        <v>401</v>
      </c>
      <c r="F117" s="11">
        <v>0.64</v>
      </c>
      <c r="G117" s="12">
        <v>46143</v>
      </c>
    </row>
    <row r="118" spans="1:7" ht="15.75" customHeight="1" x14ac:dyDescent="0.25">
      <c r="A118" s="10" t="s">
        <v>30</v>
      </c>
      <c r="B118" s="10">
        <v>40</v>
      </c>
      <c r="C118" s="10">
        <v>21</v>
      </c>
      <c r="D118" s="10">
        <v>840</v>
      </c>
      <c r="E118" s="10">
        <v>885</v>
      </c>
      <c r="F118" s="11">
        <v>1.05</v>
      </c>
      <c r="G118" s="12">
        <v>46143</v>
      </c>
    </row>
    <row r="119" spans="1:7" ht="15.75" customHeight="1" x14ac:dyDescent="0.25">
      <c r="A119" s="10" t="s">
        <v>31</v>
      </c>
      <c r="B119" s="10">
        <v>15</v>
      </c>
      <c r="C119" s="10">
        <v>21</v>
      </c>
      <c r="D119" s="10">
        <v>315</v>
      </c>
      <c r="E119" s="10">
        <v>162</v>
      </c>
      <c r="F119" s="11">
        <v>0.51</v>
      </c>
      <c r="G119" s="12">
        <v>46143</v>
      </c>
    </row>
    <row r="120" spans="1:7" ht="15.75" customHeight="1" x14ac:dyDescent="0.25">
      <c r="A120" s="10" t="s">
        <v>32</v>
      </c>
      <c r="B120" s="10">
        <v>60</v>
      </c>
      <c r="C120" s="10">
        <v>21</v>
      </c>
      <c r="D120" s="10">
        <v>1260</v>
      </c>
      <c r="E120" s="10">
        <v>1524</v>
      </c>
      <c r="F120" s="11">
        <v>1.21</v>
      </c>
      <c r="G120" s="12">
        <v>46143</v>
      </c>
    </row>
    <row r="121" spans="1:7" ht="15.75" customHeight="1" x14ac:dyDescent="0.25">
      <c r="A121" s="10" t="s">
        <v>33</v>
      </c>
      <c r="B121" s="10">
        <v>40</v>
      </c>
      <c r="C121" s="10">
        <v>21</v>
      </c>
      <c r="D121" s="10">
        <v>840</v>
      </c>
      <c r="E121" s="10">
        <v>1524</v>
      </c>
      <c r="F121" s="11">
        <v>1.81</v>
      </c>
      <c r="G121" s="12">
        <v>46143</v>
      </c>
    </row>
    <row r="122" spans="1:7" ht="15.75" customHeight="1" x14ac:dyDescent="0.25">
      <c r="A122" s="10" t="s">
        <v>34</v>
      </c>
      <c r="B122" s="10">
        <v>80</v>
      </c>
      <c r="C122" s="10">
        <v>21</v>
      </c>
      <c r="D122" s="10">
        <v>1680</v>
      </c>
      <c r="E122" s="10">
        <v>1362</v>
      </c>
      <c r="F122" s="11">
        <v>0.81</v>
      </c>
      <c r="G122" s="12">
        <v>46143</v>
      </c>
    </row>
  </sheetData>
  <conditionalFormatting sqref="F2:F30">
    <cfRule type="cellIs" dxfId="1" priority="1" operator="greaterThanOrEqual">
      <formula>0.9</formula>
    </cfRule>
    <cfRule type="cellIs" dxfId="0" priority="2" operator="between">
      <formula>"0,7 e 0,89"</formula>
      <formula>"0,7 e 0,89"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de Desempenho Odontol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Fenelon Fenelon</cp:lastModifiedBy>
  <dcterms:modified xsi:type="dcterms:W3CDTF">2026-06-18T17:35:59Z</dcterms:modified>
</cp:coreProperties>
</file>